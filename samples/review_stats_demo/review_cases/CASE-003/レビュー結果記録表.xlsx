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ll\source\repos\review\samples\review_stats_demo\review_cases\CASE-003\"/>
    </mc:Choice>
  </mc:AlternateContent>
  <xr:revisionPtr revIDLastSave="0" documentId="13_ncr:1_{2F5FC5E9-66EB-42E8-9D12-801F5DDB8EC2}" xr6:coauthVersionLast="47" xr6:coauthVersionMax="47" xr10:uidLastSave="{00000000-0000-0000-0000-000000000000}"/>
  <bookViews>
    <workbookView xWindow="0" yWindow="1005" windowWidth="28575" windowHeight="14190" xr2:uid="{00000000-000D-0000-FFFF-FFFF00000000}"/>
  </bookViews>
  <sheets>
    <sheet name="_集計管理" sheetId="1" r:id="rId1"/>
    <sheet name="外部仕様書" sheetId="2" r:id="rId2"/>
    <sheet name="内部仕様書" sheetId="3" r:id="rId3"/>
    <sheet name="コード" sheetId="4" r:id="rId4"/>
    <sheet name="テスト仕様書" sheetId="5" r:id="rId5"/>
    <sheet name="リリース後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<sst xmlns="http://schemas.openxmlformats.org/spreadsheetml/2006/main" count="322" uniqueCount="99">
  <si>
    <t>項目</t>
  </si>
  <si>
    <t>値</t>
  </si>
  <si>
    <t>案件ID</t>
  </si>
  <si>
    <t>CASE-003</t>
  </si>
  <si>
    <t>案件名</t>
  </si>
  <si>
    <t>帳票CSV出力</t>
  </si>
  <si>
    <t>Bazaarリポジトリパス</t>
  </si>
  <si>
    <t>コードfromリビジョン</t>
  </si>
  <si>
    <t>コードtoリビジョン</t>
  </si>
  <si>
    <t>コード変更ステップ数</t>
  </si>
  <si>
    <t>外部仕様書ページ数</t>
  </si>
  <si>
    <t>内部仕様書ページ数</t>
  </si>
  <si>
    <t>流出不良件数</t>
  </si>
  <si>
    <t>Redmine issue</t>
  </si>
  <si>
    <t>Redmine URL</t>
  </si>
  <si>
    <t>担当者</t>
  </si>
  <si>
    <t>品質管理C</t>
  </si>
  <si>
    <t>レビュー担当者</t>
  </si>
  <si>
    <t>レビューリーダー甲</t>
  </si>
  <si>
    <t>レビュー開始日</t>
  </si>
  <si>
    <t>2026-05-01</t>
  </si>
  <si>
    <t>レビュー終了日</t>
  </si>
  <si>
    <t>2026-05-20</t>
  </si>
  <si>
    <t>レビュー者観点チェックリスト</t>
  </si>
  <si>
    <t>No</t>
  </si>
  <si>
    <t>内容</t>
  </si>
  <si>
    <t>状況</t>
  </si>
  <si>
    <t>確認日時</t>
  </si>
  <si>
    <t>外部仕様書の整合性を確認</t>
  </si>
  <si>
    <t>確認済</t>
  </si>
  <si>
    <t>2026-05-12</t>
  </si>
  <si>
    <t>外部仕様書の変更範囲を確認</t>
  </si>
  <si>
    <t>共通チェックリスト</t>
  </si>
  <si>
    <t>作業者確認日時</t>
  </si>
  <si>
    <t>レビュー者確認日時</t>
  </si>
  <si>
    <t>成果物の版数と更新日が一致している</t>
  </si>
  <si>
    <t>2026-05-10</t>
  </si>
  <si>
    <t>レビュー指摘の対応方針が記録されている</t>
  </si>
  <si>
    <t>指摘項目</t>
  </si>
  <si>
    <t>重大度</t>
  </si>
  <si>
    <t>指摘箇所</t>
  </si>
  <si>
    <t>指摘内容</t>
  </si>
  <si>
    <t>対応日時</t>
  </si>
  <si>
    <t>備考</t>
  </si>
  <si>
    <t>作業担当者</t>
  </si>
  <si>
    <t>指摘分類</t>
  </si>
  <si>
    <t>指標対象</t>
  </si>
  <si>
    <t>検出工程</t>
  </si>
  <si>
    <t>原因工程</t>
  </si>
  <si>
    <t>C</t>
  </si>
  <si>
    <t>出力項目</t>
  </si>
  <si>
    <t>NULL時の空欄/0出力ルールが曖昧</t>
  </si>
  <si>
    <t>2026-05-15</t>
  </si>
  <si>
    <t>対応済</t>
  </si>
  <si>
    <t>品質管理A</t>
  </si>
  <si>
    <t>不良</t>
  </si>
  <si>
    <t>対象</t>
  </si>
  <si>
    <t>外部仕様書</t>
  </si>
  <si>
    <t>D</t>
  </si>
  <si>
    <t>本文</t>
  </si>
  <si>
    <t>句読点の揺れ</t>
  </si>
  <si>
    <t>軽微</t>
  </si>
  <si>
    <t>除外</t>
  </si>
  <si>
    <t>内部仕様書の整合性を確認</t>
  </si>
  <si>
    <t>内部仕様書の変更範囲を確認</t>
  </si>
  <si>
    <t>B</t>
  </si>
  <si>
    <t>文字コード</t>
  </si>
  <si>
    <t>Shift_JIS変換失敗時の扱いが未記載</t>
  </si>
  <si>
    <t>レビューリーダー乙</t>
  </si>
  <si>
    <t>内部仕様書</t>
  </si>
  <si>
    <t>コードの整合性を確認</t>
  </si>
  <si>
    <t>コードの変更範囲を確認</t>
  </si>
  <si>
    <t>A</t>
  </si>
  <si>
    <t>src/csv_exporter.cs</t>
  </si>
  <si>
    <t>改行を含む項目のクォート処理が不足</t>
  </si>
  <si>
    <t>品質管理B</t>
  </si>
  <si>
    <t>コード</t>
  </si>
  <si>
    <t>例外メッセージが利用者向けでない</t>
  </si>
  <si>
    <t>改善</t>
  </si>
  <si>
    <t>テスト仕様書の整合性を確認</t>
  </si>
  <si>
    <t>テスト仕様書の変更範囲を確認</t>
  </si>
  <si>
    <t>境界値</t>
  </si>
  <si>
    <t>最大桁数の出力確認が不足</t>
  </si>
  <si>
    <t>テスト仕様書</t>
  </si>
  <si>
    <t>観点</t>
  </si>
  <si>
    <t>空ファイル出力時の期待値を追記</t>
  </si>
  <si>
    <t>リリース後の整合性を確認</t>
  </si>
  <si>
    <t>リリース後の変更範囲を確認</t>
  </si>
  <si>
    <t>リリース後障害</t>
  </si>
  <si>
    <t>改行を含むCSVが取込先で分割された</t>
  </si>
  <si>
    <t>リリース後</t>
  </si>
  <si>
    <t>後工程試験</t>
  </si>
  <si>
    <t>文字コード変換エラーの再実行手順が不足</t>
  </si>
  <si>
    <t>後工程</t>
  </si>
  <si>
    <t>C:/Users/stell/source/repos/vscodeBazaar-load-sample-6000/repo/trunk</t>
  </si>
  <si>
    <t>テスト仕様書ページ数</t>
    <phoneticPr fontId="2"/>
  </si>
  <si>
    <t>外部仕様書文字数</t>
    <phoneticPr fontId="2"/>
  </si>
  <si>
    <t>内部仕様書文字数</t>
    <phoneticPr fontId="2"/>
  </si>
  <si>
    <t>テスト仕様書文字数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</si>
</sst>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14" sqref="A14"/>
    </sheetView>
  </sheetViews>
  <sheetFormatPr defaultRowHeight="13.5" x14ac:dyDescent="0.15"/>
  <cols>
    <col min="1" max="1" width="26" customWidth="1"/>
    <col min="2" max="2" width="36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94</v>
      </c>
    </row>
    <row r="5" spans="1:2" x14ac:dyDescent="0.15">
      <c r="A5" t="s">
        <v>7</v>
      </c>
      <c r="B5">
        <v>1999</v>
      </c>
    </row>
    <row r="6" spans="1:2" x14ac:dyDescent="0.15">
      <c r="A6" t="s">
        <v>8</v>
      </c>
      <c r="B6">
        <v>2002</v>
      </c>
    </row>
    <row r="7" spans="1:2" x14ac:dyDescent="0.15">
      <c r="A7" t="s">
        <v>9</v>
      </c>
    </row>
    <row r="8" spans="1:2" x14ac:dyDescent="0.15">
      <c r="A8" t="s">
        <v>10</v>
      </c>
      <c r="B8">
        <v>8</v>
      </c>
    </row>
    <row r="9" spans="1:2" x14ac:dyDescent="0.15">
      <c r="A9" t="s">
        <v>11</v>
      </c>
      <c r="B9">
        <v>9</v>
      </c>
    </row>
    <row r="10" spans="1:2" x14ac:dyDescent="0.15">
      <c r="A10" t="s">
        <v>95</v>
      </c>
      <c r="B10">
        <v>7</v>
      </c>
    </row>
    <row r="11" spans="1:2" x14ac:dyDescent="0.15">
      <c r="A11" t="s">
        <v>96</v>
      </c>
      <c r="B11">
        <v>8000</v>
      </c>
    </row>
    <row r="12" spans="1:2" x14ac:dyDescent="0.15">
      <c r="A12" t="s">
        <v>97</v>
      </c>
      <c r="B12">
        <v>9000</v>
      </c>
    </row>
    <row r="13" spans="1:2" x14ac:dyDescent="0.15">
      <c r="A13" t="s">
        <v>98</v>
      </c>
      <c r="B13">
        <v>7000</v>
      </c>
    </row>
    <row r="14" spans="1:2" x14ac:dyDescent="0.15">
      <c r="A14" t="s">
        <v>12</v>
      </c>
      <c r="B14">
        <f>COUNTIFS(リリース後!J:J,"不良",リリース後!K:K,"対象")+COUNTIFS(リリース後!J:J,"不良",リリース後!K:K,"")</f>
        <v>2</v>
      </c>
    </row>
    <row r="15" spans="1:2" x14ac:dyDescent="0.15">
      <c r="A15" t="s">
        <v>13</v>
      </c>
    </row>
    <row r="16" spans="1:2" x14ac:dyDescent="0.15">
      <c r="A16" t="s">
        <v>14</v>
      </c>
    </row>
    <row r="17" spans="1:2" x14ac:dyDescent="0.15">
      <c r="A17" t="s">
        <v>15</v>
      </c>
      <c r="B17" t="s">
        <v>16</v>
      </c>
    </row>
    <row r="18" spans="1:2" x14ac:dyDescent="0.15">
      <c r="A18" t="s">
        <v>17</v>
      </c>
      <c r="B18" t="s">
        <v>18</v>
      </c>
    </row>
    <row r="19" spans="1:2" x14ac:dyDescent="0.15">
      <c r="A19" t="s">
        <v>19</v>
      </c>
      <c r="B19" t="s">
        <v>20</v>
      </c>
    </row>
    <row r="20" spans="1:2" x14ac:dyDescent="0.15">
      <c r="A20" t="s">
        <v>21</v>
      </c>
      <c r="B20" t="s">
        <v>22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23</v>
      </c>
    </row>
    <row r="2" spans="1:13" x14ac:dyDescent="0.15">
      <c r="A2" t="s">
        <v>24</v>
      </c>
      <c r="B2" t="s">
        <v>25</v>
      </c>
      <c r="C2" t="s">
        <v>26</v>
      </c>
      <c r="D2" t="s">
        <v>27</v>
      </c>
    </row>
    <row r="3" spans="1:13" x14ac:dyDescent="0.15">
      <c r="A3">
        <v>1</v>
      </c>
      <c r="B3" t="s">
        <v>28</v>
      </c>
      <c r="C3" t="s">
        <v>29</v>
      </c>
      <c r="D3" t="s">
        <v>30</v>
      </c>
    </row>
    <row r="4" spans="1:13" x14ac:dyDescent="0.15">
      <c r="A4">
        <v>2</v>
      </c>
      <c r="B4" t="s">
        <v>31</v>
      </c>
      <c r="C4" t="s">
        <v>29</v>
      </c>
      <c r="D4" t="s">
        <v>30</v>
      </c>
    </row>
    <row r="6" spans="1:13" x14ac:dyDescent="0.15">
      <c r="A6" t="s">
        <v>32</v>
      </c>
    </row>
    <row r="7" spans="1:13" x14ac:dyDescent="0.15">
      <c r="A7" t="s">
        <v>24</v>
      </c>
      <c r="B7" t="s">
        <v>25</v>
      </c>
      <c r="C7" t="s">
        <v>33</v>
      </c>
      <c r="D7" t="s">
        <v>34</v>
      </c>
      <c r="E7" t="s">
        <v>26</v>
      </c>
    </row>
    <row r="8" spans="1:13" x14ac:dyDescent="0.15">
      <c r="A8">
        <v>1</v>
      </c>
      <c r="B8" t="s">
        <v>35</v>
      </c>
      <c r="C8" t="s">
        <v>36</v>
      </c>
      <c r="D8" t="s">
        <v>30</v>
      </c>
      <c r="E8" t="s">
        <v>29</v>
      </c>
    </row>
    <row r="9" spans="1:13" x14ac:dyDescent="0.15">
      <c r="A9">
        <v>2</v>
      </c>
      <c r="B9" t="s">
        <v>37</v>
      </c>
      <c r="C9" t="s">
        <v>36</v>
      </c>
      <c r="D9" t="s">
        <v>30</v>
      </c>
      <c r="E9" t="s">
        <v>29</v>
      </c>
    </row>
    <row r="11" spans="1:13" x14ac:dyDescent="0.15">
      <c r="A11" t="s">
        <v>38</v>
      </c>
    </row>
    <row r="12" spans="1:13" x14ac:dyDescent="0.15">
      <c r="A12" s="1" t="s">
        <v>24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26</v>
      </c>
      <c r="G12" s="1" t="s">
        <v>43</v>
      </c>
      <c r="H12" s="1" t="s">
        <v>44</v>
      </c>
      <c r="I12" s="1" t="s">
        <v>17</v>
      </c>
      <c r="J12" s="1" t="s">
        <v>45</v>
      </c>
      <c r="K12" s="1" t="s">
        <v>46</v>
      </c>
      <c r="L12" s="1" t="s">
        <v>47</v>
      </c>
      <c r="M12" s="1" t="s">
        <v>48</v>
      </c>
    </row>
    <row r="13" spans="1:13" x14ac:dyDescent="0.15">
      <c r="A13">
        <v>1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H13" t="s">
        <v>54</v>
      </c>
      <c r="I13" t="s">
        <v>18</v>
      </c>
      <c r="J13" t="s">
        <v>55</v>
      </c>
      <c r="K13" t="s">
        <v>56</v>
      </c>
      <c r="L13" t="s">
        <v>57</v>
      </c>
      <c r="M13" t="s">
        <v>57</v>
      </c>
    </row>
    <row r="14" spans="1:13" x14ac:dyDescent="0.15">
      <c r="A14">
        <v>2</v>
      </c>
      <c r="B14" t="s">
        <v>58</v>
      </c>
      <c r="C14" t="s">
        <v>59</v>
      </c>
      <c r="D14" t="s">
        <v>60</v>
      </c>
      <c r="E14" t="s">
        <v>52</v>
      </c>
      <c r="F14" t="s">
        <v>53</v>
      </c>
      <c r="H14" t="s">
        <v>54</v>
      </c>
      <c r="I14" t="s">
        <v>18</v>
      </c>
      <c r="J14" t="s">
        <v>61</v>
      </c>
      <c r="K14" t="s">
        <v>62</v>
      </c>
      <c r="L14" t="s">
        <v>57</v>
      </c>
      <c r="M14" t="s">
        <v>57</v>
      </c>
    </row>
  </sheetData>
  <phoneticPr fontId="2"/>
  <dataValidations count="4">
    <dataValidation type="list" allowBlank="1" sqref="J13:J100" xr:uid="{00000000-0002-0000-0100-000000000000}">
      <formula1>"不良,改善,軽微,質問,対象外"</formula1>
    </dataValidation>
    <dataValidation type="list" allowBlank="1" sqref="K13:K100" xr:uid="{00000000-0002-0000-0100-000001000000}">
      <formula1>"対象,除外"</formula1>
    </dataValidation>
    <dataValidation type="list" allowBlank="1" sqref="L13:L100" xr:uid="{00000000-0002-0000-0100-000002000000}">
      <formula1>"外部仕様書,内部仕様書,コード,テスト仕様書,リリース後,後工程"</formula1>
    </dataValidation>
    <dataValidation type="list" allowBlank="1" sqref="M13:M100" xr:uid="{00000000-0002-0000-01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23</v>
      </c>
    </row>
    <row r="2" spans="1:13" x14ac:dyDescent="0.15">
      <c r="A2" t="s">
        <v>24</v>
      </c>
      <c r="B2" t="s">
        <v>25</v>
      </c>
      <c r="C2" t="s">
        <v>26</v>
      </c>
      <c r="D2" t="s">
        <v>27</v>
      </c>
    </row>
    <row r="3" spans="1:13" x14ac:dyDescent="0.15">
      <c r="A3">
        <v>1</v>
      </c>
      <c r="B3" t="s">
        <v>63</v>
      </c>
      <c r="C3" t="s">
        <v>29</v>
      </c>
      <c r="D3" t="s">
        <v>30</v>
      </c>
    </row>
    <row r="4" spans="1:13" x14ac:dyDescent="0.15">
      <c r="A4">
        <v>2</v>
      </c>
      <c r="B4" t="s">
        <v>64</v>
      </c>
      <c r="C4" t="s">
        <v>29</v>
      </c>
      <c r="D4" t="s">
        <v>30</v>
      </c>
    </row>
    <row r="6" spans="1:13" x14ac:dyDescent="0.15">
      <c r="A6" t="s">
        <v>32</v>
      </c>
    </row>
    <row r="7" spans="1:13" x14ac:dyDescent="0.15">
      <c r="A7" t="s">
        <v>24</v>
      </c>
      <c r="B7" t="s">
        <v>25</v>
      </c>
      <c r="C7" t="s">
        <v>33</v>
      </c>
      <c r="D7" t="s">
        <v>34</v>
      </c>
      <c r="E7" t="s">
        <v>26</v>
      </c>
    </row>
    <row r="8" spans="1:13" x14ac:dyDescent="0.15">
      <c r="A8">
        <v>1</v>
      </c>
      <c r="B8" t="s">
        <v>35</v>
      </c>
      <c r="C8" t="s">
        <v>36</v>
      </c>
      <c r="D8" t="s">
        <v>30</v>
      </c>
      <c r="E8" t="s">
        <v>29</v>
      </c>
    </row>
    <row r="9" spans="1:13" x14ac:dyDescent="0.15">
      <c r="A9">
        <v>2</v>
      </c>
      <c r="B9" t="s">
        <v>37</v>
      </c>
      <c r="C9" t="s">
        <v>36</v>
      </c>
      <c r="D9" t="s">
        <v>30</v>
      </c>
      <c r="E9" t="s">
        <v>29</v>
      </c>
    </row>
    <row r="11" spans="1:13" x14ac:dyDescent="0.15">
      <c r="A11" t="s">
        <v>38</v>
      </c>
    </row>
    <row r="12" spans="1:13" x14ac:dyDescent="0.15">
      <c r="A12" s="1" t="s">
        <v>24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26</v>
      </c>
      <c r="G12" s="1" t="s">
        <v>43</v>
      </c>
      <c r="H12" s="1" t="s">
        <v>44</v>
      </c>
      <c r="I12" s="1" t="s">
        <v>17</v>
      </c>
      <c r="J12" s="1" t="s">
        <v>45</v>
      </c>
      <c r="K12" s="1" t="s">
        <v>46</v>
      </c>
      <c r="L12" s="1" t="s">
        <v>47</v>
      </c>
      <c r="M12" s="1" t="s">
        <v>48</v>
      </c>
    </row>
    <row r="13" spans="1:13" x14ac:dyDescent="0.15">
      <c r="A13">
        <v>1</v>
      </c>
      <c r="B13" t="s">
        <v>65</v>
      </c>
      <c r="C13" t="s">
        <v>66</v>
      </c>
      <c r="D13" t="s">
        <v>67</v>
      </c>
      <c r="E13" t="s">
        <v>52</v>
      </c>
      <c r="F13" t="s">
        <v>53</v>
      </c>
      <c r="H13" t="s">
        <v>54</v>
      </c>
      <c r="I13" t="s">
        <v>68</v>
      </c>
      <c r="J13" t="s">
        <v>55</v>
      </c>
      <c r="K13" t="s">
        <v>56</v>
      </c>
      <c r="L13" t="s">
        <v>69</v>
      </c>
      <c r="M13" t="s">
        <v>69</v>
      </c>
    </row>
  </sheetData>
  <phoneticPr fontId="2"/>
  <dataValidations count="4">
    <dataValidation type="list" allowBlank="1" sqref="J13:J100" xr:uid="{00000000-0002-0000-0200-000000000000}">
      <formula1>"不良,改善,軽微,質問,対象外"</formula1>
    </dataValidation>
    <dataValidation type="list" allowBlank="1" sqref="K13:K100" xr:uid="{00000000-0002-0000-0200-000001000000}">
      <formula1>"対象,除外"</formula1>
    </dataValidation>
    <dataValidation type="list" allowBlank="1" sqref="L13:L100" xr:uid="{00000000-0002-0000-0200-000002000000}">
      <formula1>"外部仕様書,内部仕様書,コード,テスト仕様書,リリース後,後工程"</formula1>
    </dataValidation>
    <dataValidation type="list" allowBlank="1" sqref="M13:M100" xr:uid="{00000000-0002-0000-02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23</v>
      </c>
    </row>
    <row r="2" spans="1:13" x14ac:dyDescent="0.15">
      <c r="A2" t="s">
        <v>24</v>
      </c>
      <c r="B2" t="s">
        <v>25</v>
      </c>
      <c r="C2" t="s">
        <v>26</v>
      </c>
      <c r="D2" t="s">
        <v>27</v>
      </c>
    </row>
    <row r="3" spans="1:13" x14ac:dyDescent="0.15">
      <c r="A3">
        <v>1</v>
      </c>
      <c r="B3" t="s">
        <v>70</v>
      </c>
      <c r="C3" t="s">
        <v>29</v>
      </c>
      <c r="D3" t="s">
        <v>30</v>
      </c>
    </row>
    <row r="4" spans="1:13" x14ac:dyDescent="0.15">
      <c r="A4">
        <v>2</v>
      </c>
      <c r="B4" t="s">
        <v>71</v>
      </c>
      <c r="C4" t="s">
        <v>29</v>
      </c>
      <c r="D4" t="s">
        <v>30</v>
      </c>
    </row>
    <row r="6" spans="1:13" x14ac:dyDescent="0.15">
      <c r="A6" t="s">
        <v>32</v>
      </c>
    </row>
    <row r="7" spans="1:13" x14ac:dyDescent="0.15">
      <c r="A7" t="s">
        <v>24</v>
      </c>
      <c r="B7" t="s">
        <v>25</v>
      </c>
      <c r="C7" t="s">
        <v>33</v>
      </c>
      <c r="D7" t="s">
        <v>34</v>
      </c>
      <c r="E7" t="s">
        <v>26</v>
      </c>
    </row>
    <row r="8" spans="1:13" x14ac:dyDescent="0.15">
      <c r="A8">
        <v>1</v>
      </c>
      <c r="B8" t="s">
        <v>35</v>
      </c>
      <c r="C8" t="s">
        <v>36</v>
      </c>
      <c r="D8" t="s">
        <v>30</v>
      </c>
      <c r="E8" t="s">
        <v>29</v>
      </c>
    </row>
    <row r="9" spans="1:13" x14ac:dyDescent="0.15">
      <c r="A9">
        <v>2</v>
      </c>
      <c r="B9" t="s">
        <v>37</v>
      </c>
      <c r="C9" t="s">
        <v>36</v>
      </c>
      <c r="D9" t="s">
        <v>30</v>
      </c>
      <c r="E9" t="s">
        <v>29</v>
      </c>
    </row>
    <row r="11" spans="1:13" x14ac:dyDescent="0.15">
      <c r="A11" t="s">
        <v>38</v>
      </c>
    </row>
    <row r="12" spans="1:13" x14ac:dyDescent="0.15">
      <c r="A12" s="1" t="s">
        <v>24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26</v>
      </c>
      <c r="G12" s="1" t="s">
        <v>43</v>
      </c>
      <c r="H12" s="1" t="s">
        <v>44</v>
      </c>
      <c r="I12" s="1" t="s">
        <v>17</v>
      </c>
      <c r="J12" s="1" t="s">
        <v>45</v>
      </c>
      <c r="K12" s="1" t="s">
        <v>46</v>
      </c>
      <c r="L12" s="1" t="s">
        <v>47</v>
      </c>
      <c r="M12" s="1" t="s">
        <v>48</v>
      </c>
    </row>
    <row r="13" spans="1:13" x14ac:dyDescent="0.15">
      <c r="A13">
        <v>1</v>
      </c>
      <c r="B13" t="s">
        <v>72</v>
      </c>
      <c r="C13" t="s">
        <v>73</v>
      </c>
      <c r="D13" t="s">
        <v>74</v>
      </c>
      <c r="E13" t="s">
        <v>52</v>
      </c>
      <c r="F13" t="s">
        <v>53</v>
      </c>
      <c r="H13" t="s">
        <v>75</v>
      </c>
      <c r="I13" t="s">
        <v>68</v>
      </c>
      <c r="J13" t="s">
        <v>55</v>
      </c>
      <c r="K13" t="s">
        <v>56</v>
      </c>
      <c r="L13" t="s">
        <v>76</v>
      </c>
      <c r="M13" t="s">
        <v>76</v>
      </c>
    </row>
    <row r="14" spans="1:13" x14ac:dyDescent="0.15">
      <c r="A14">
        <v>2</v>
      </c>
      <c r="B14" t="s">
        <v>49</v>
      </c>
      <c r="C14" t="s">
        <v>73</v>
      </c>
      <c r="D14" t="s">
        <v>77</v>
      </c>
      <c r="E14" t="s">
        <v>52</v>
      </c>
      <c r="F14" t="s">
        <v>53</v>
      </c>
      <c r="H14" t="s">
        <v>75</v>
      </c>
      <c r="I14" t="s">
        <v>68</v>
      </c>
      <c r="J14" t="s">
        <v>78</v>
      </c>
      <c r="K14" t="s">
        <v>56</v>
      </c>
      <c r="L14" t="s">
        <v>76</v>
      </c>
      <c r="M14" t="s">
        <v>76</v>
      </c>
    </row>
  </sheetData>
  <phoneticPr fontId="2"/>
  <dataValidations count="4">
    <dataValidation type="list" allowBlank="1" sqref="J13:J100" xr:uid="{00000000-0002-0000-0300-000000000000}">
      <formula1>"不良,改善,軽微,質問,対象外"</formula1>
    </dataValidation>
    <dataValidation type="list" allowBlank="1" sqref="K13:K100" xr:uid="{00000000-0002-0000-0300-000001000000}">
      <formula1>"対象,除外"</formula1>
    </dataValidation>
    <dataValidation type="list" allowBlank="1" sqref="L13:L100" xr:uid="{00000000-0002-0000-0300-000002000000}">
      <formula1>"外部仕様書,内部仕様書,コード,テスト仕様書,リリース後,後工程"</formula1>
    </dataValidation>
    <dataValidation type="list" allowBlank="1" sqref="M13:M100" xr:uid="{00000000-0002-0000-03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23</v>
      </c>
    </row>
    <row r="2" spans="1:13" x14ac:dyDescent="0.15">
      <c r="A2" t="s">
        <v>24</v>
      </c>
      <c r="B2" t="s">
        <v>25</v>
      </c>
      <c r="C2" t="s">
        <v>26</v>
      </c>
      <c r="D2" t="s">
        <v>27</v>
      </c>
    </row>
    <row r="3" spans="1:13" x14ac:dyDescent="0.15">
      <c r="A3">
        <v>1</v>
      </c>
      <c r="B3" t="s">
        <v>79</v>
      </c>
      <c r="C3" t="s">
        <v>29</v>
      </c>
      <c r="D3" t="s">
        <v>30</v>
      </c>
    </row>
    <row r="4" spans="1:13" x14ac:dyDescent="0.15">
      <c r="A4">
        <v>2</v>
      </c>
      <c r="B4" t="s">
        <v>80</v>
      </c>
      <c r="C4" t="s">
        <v>29</v>
      </c>
      <c r="D4" t="s">
        <v>30</v>
      </c>
    </row>
    <row r="6" spans="1:13" x14ac:dyDescent="0.15">
      <c r="A6" t="s">
        <v>32</v>
      </c>
    </row>
    <row r="7" spans="1:13" x14ac:dyDescent="0.15">
      <c r="A7" t="s">
        <v>24</v>
      </c>
      <c r="B7" t="s">
        <v>25</v>
      </c>
      <c r="C7" t="s">
        <v>33</v>
      </c>
      <c r="D7" t="s">
        <v>34</v>
      </c>
      <c r="E7" t="s">
        <v>26</v>
      </c>
    </row>
    <row r="8" spans="1:13" x14ac:dyDescent="0.15">
      <c r="A8">
        <v>1</v>
      </c>
      <c r="B8" t="s">
        <v>35</v>
      </c>
      <c r="C8" t="s">
        <v>36</v>
      </c>
      <c r="D8" t="s">
        <v>30</v>
      </c>
      <c r="E8" t="s">
        <v>29</v>
      </c>
    </row>
    <row r="9" spans="1:13" x14ac:dyDescent="0.15">
      <c r="A9">
        <v>2</v>
      </c>
      <c r="B9" t="s">
        <v>37</v>
      </c>
      <c r="C9" t="s">
        <v>36</v>
      </c>
      <c r="D9" t="s">
        <v>30</v>
      </c>
      <c r="E9" t="s">
        <v>29</v>
      </c>
    </row>
    <row r="11" spans="1:13" x14ac:dyDescent="0.15">
      <c r="A11" t="s">
        <v>38</v>
      </c>
    </row>
    <row r="12" spans="1:13" x14ac:dyDescent="0.15">
      <c r="A12" s="1" t="s">
        <v>24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26</v>
      </c>
      <c r="G12" s="1" t="s">
        <v>43</v>
      </c>
      <c r="H12" s="1" t="s">
        <v>44</v>
      </c>
      <c r="I12" s="1" t="s">
        <v>17</v>
      </c>
      <c r="J12" s="1" t="s">
        <v>45</v>
      </c>
      <c r="K12" s="1" t="s">
        <v>46</v>
      </c>
      <c r="L12" s="1" t="s">
        <v>47</v>
      </c>
      <c r="M12" s="1" t="s">
        <v>48</v>
      </c>
    </row>
    <row r="13" spans="1:13" x14ac:dyDescent="0.15">
      <c r="A13">
        <v>1</v>
      </c>
      <c r="B13" t="s">
        <v>65</v>
      </c>
      <c r="C13" t="s">
        <v>81</v>
      </c>
      <c r="D13" t="s">
        <v>82</v>
      </c>
      <c r="E13" t="s">
        <v>52</v>
      </c>
      <c r="F13" t="s">
        <v>53</v>
      </c>
      <c r="H13" t="s">
        <v>75</v>
      </c>
      <c r="I13" t="s">
        <v>18</v>
      </c>
      <c r="J13" t="s">
        <v>55</v>
      </c>
      <c r="K13" t="s">
        <v>56</v>
      </c>
      <c r="L13" t="s">
        <v>83</v>
      </c>
      <c r="M13" t="s">
        <v>83</v>
      </c>
    </row>
    <row r="14" spans="1:13" x14ac:dyDescent="0.15">
      <c r="A14">
        <v>2</v>
      </c>
      <c r="B14" t="s">
        <v>49</v>
      </c>
      <c r="C14" t="s">
        <v>84</v>
      </c>
      <c r="D14" t="s">
        <v>85</v>
      </c>
      <c r="E14" t="s">
        <v>52</v>
      </c>
      <c r="F14" t="s">
        <v>53</v>
      </c>
      <c r="H14" t="s">
        <v>75</v>
      </c>
      <c r="I14" t="s">
        <v>18</v>
      </c>
      <c r="J14" t="s">
        <v>55</v>
      </c>
      <c r="K14" t="s">
        <v>56</v>
      </c>
      <c r="L14" t="s">
        <v>83</v>
      </c>
      <c r="M14" t="s">
        <v>83</v>
      </c>
    </row>
  </sheetData>
  <phoneticPr fontId="2"/>
  <dataValidations count="4">
    <dataValidation type="list" allowBlank="1" sqref="J13:J100" xr:uid="{00000000-0002-0000-0400-000000000000}">
      <formula1>"不良,改善,軽微,質問,対象外"</formula1>
    </dataValidation>
    <dataValidation type="list" allowBlank="1" sqref="K13:K100" xr:uid="{00000000-0002-0000-0400-000001000000}">
      <formula1>"対象,除外"</formula1>
    </dataValidation>
    <dataValidation type="list" allowBlank="1" sqref="L13:L100" xr:uid="{00000000-0002-0000-0400-000002000000}">
      <formula1>"外部仕様書,内部仕様書,コード,テスト仕様書,リリース後,後工程"</formula1>
    </dataValidation>
    <dataValidation type="list" allowBlank="1" sqref="M13:M100" xr:uid="{00000000-0002-0000-04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23</v>
      </c>
    </row>
    <row r="2" spans="1:13" x14ac:dyDescent="0.15">
      <c r="A2" t="s">
        <v>24</v>
      </c>
      <c r="B2" t="s">
        <v>25</v>
      </c>
      <c r="C2" t="s">
        <v>26</v>
      </c>
      <c r="D2" t="s">
        <v>27</v>
      </c>
    </row>
    <row r="3" spans="1:13" x14ac:dyDescent="0.15">
      <c r="A3">
        <v>1</v>
      </c>
      <c r="B3" t="s">
        <v>86</v>
      </c>
      <c r="C3" t="s">
        <v>29</v>
      </c>
      <c r="D3" t="s">
        <v>30</v>
      </c>
    </row>
    <row r="4" spans="1:13" x14ac:dyDescent="0.15">
      <c r="A4">
        <v>2</v>
      </c>
      <c r="B4" t="s">
        <v>87</v>
      </c>
      <c r="C4" t="s">
        <v>29</v>
      </c>
      <c r="D4" t="s">
        <v>30</v>
      </c>
    </row>
    <row r="6" spans="1:13" x14ac:dyDescent="0.15">
      <c r="A6" t="s">
        <v>32</v>
      </c>
    </row>
    <row r="7" spans="1:13" x14ac:dyDescent="0.15">
      <c r="A7" t="s">
        <v>24</v>
      </c>
      <c r="B7" t="s">
        <v>25</v>
      </c>
      <c r="C7" t="s">
        <v>33</v>
      </c>
      <c r="D7" t="s">
        <v>34</v>
      </c>
      <c r="E7" t="s">
        <v>26</v>
      </c>
    </row>
    <row r="8" spans="1:13" x14ac:dyDescent="0.15">
      <c r="A8">
        <v>1</v>
      </c>
      <c r="B8" t="s">
        <v>35</v>
      </c>
      <c r="C8" t="s">
        <v>36</v>
      </c>
      <c r="D8" t="s">
        <v>30</v>
      </c>
      <c r="E8" t="s">
        <v>29</v>
      </c>
    </row>
    <row r="9" spans="1:13" x14ac:dyDescent="0.15">
      <c r="A9">
        <v>2</v>
      </c>
      <c r="B9" t="s">
        <v>37</v>
      </c>
      <c r="C9" t="s">
        <v>36</v>
      </c>
      <c r="D9" t="s">
        <v>30</v>
      </c>
      <c r="E9" t="s">
        <v>29</v>
      </c>
    </row>
    <row r="11" spans="1:13" x14ac:dyDescent="0.15">
      <c r="A11" t="s">
        <v>38</v>
      </c>
    </row>
    <row r="12" spans="1:13" x14ac:dyDescent="0.15">
      <c r="A12" s="1" t="s">
        <v>24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26</v>
      </c>
      <c r="G12" s="1" t="s">
        <v>43</v>
      </c>
      <c r="H12" s="1" t="s">
        <v>44</v>
      </c>
      <c r="I12" s="1" t="s">
        <v>17</v>
      </c>
      <c r="J12" s="1" t="s">
        <v>45</v>
      </c>
      <c r="K12" s="1" t="s">
        <v>46</v>
      </c>
      <c r="L12" s="1" t="s">
        <v>47</v>
      </c>
      <c r="M12" s="1" t="s">
        <v>48</v>
      </c>
    </row>
    <row r="13" spans="1:13" x14ac:dyDescent="0.15">
      <c r="A13">
        <v>1</v>
      </c>
      <c r="B13" t="s">
        <v>72</v>
      </c>
      <c r="C13" t="s">
        <v>88</v>
      </c>
      <c r="D13" t="s">
        <v>89</v>
      </c>
      <c r="E13" t="s">
        <v>52</v>
      </c>
      <c r="F13" t="s">
        <v>53</v>
      </c>
      <c r="H13" t="s">
        <v>75</v>
      </c>
      <c r="I13" t="s">
        <v>68</v>
      </c>
      <c r="J13" t="s">
        <v>55</v>
      </c>
      <c r="K13" t="s">
        <v>56</v>
      </c>
      <c r="L13" t="s">
        <v>90</v>
      </c>
      <c r="M13" t="s">
        <v>76</v>
      </c>
    </row>
    <row r="14" spans="1:13" x14ac:dyDescent="0.15">
      <c r="A14">
        <v>2</v>
      </c>
      <c r="B14" t="s">
        <v>65</v>
      </c>
      <c r="C14" t="s">
        <v>91</v>
      </c>
      <c r="D14" t="s">
        <v>92</v>
      </c>
      <c r="E14" t="s">
        <v>52</v>
      </c>
      <c r="F14" t="s">
        <v>53</v>
      </c>
      <c r="H14" t="s">
        <v>75</v>
      </c>
      <c r="I14" t="s">
        <v>68</v>
      </c>
      <c r="J14" t="s">
        <v>55</v>
      </c>
      <c r="K14" t="s">
        <v>56</v>
      </c>
      <c r="L14" t="s">
        <v>93</v>
      </c>
      <c r="M14" t="s">
        <v>69</v>
      </c>
    </row>
  </sheetData>
  <phoneticPr fontId="2"/>
  <dataValidations count="4">
    <dataValidation type="list" allowBlank="1" sqref="J13:J100" xr:uid="{00000000-0002-0000-0500-000000000000}">
      <formula1>"不良,改善,軽微,質問,対象外"</formula1>
    </dataValidation>
    <dataValidation type="list" allowBlank="1" sqref="K13:K100" xr:uid="{00000000-0002-0000-0500-000001000000}">
      <formula1>"対象,除外"</formula1>
    </dataValidation>
    <dataValidation type="list" allowBlank="1" sqref="L13:L100" xr:uid="{00000000-0002-0000-0500-000002000000}">
      <formula1>"外部仕様書,内部仕様書,コード,テスト仕様書,リリース後,後工程"</formula1>
    </dataValidation>
    <dataValidation type="list" allowBlank="1" sqref="M13:M100" xr:uid="{00000000-0002-0000-0500-000003000000}">
      <formula1>"外部仕様書,内部仕様書,コード,テスト仕様書,不明"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_集計管理</vt:lpstr>
      <vt:lpstr>外部仕様書</vt:lpstr>
      <vt:lpstr>内部仕様書</vt:lpstr>
      <vt:lpstr>コード</vt:lpstr>
      <vt:lpstr>テスト仕様書</vt:lpstr>
      <vt:lpstr>リリース後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kitamurajoutaro</cp:lastModifiedBy>
  <dcterms:created xsi:type="dcterms:W3CDTF">2026-05-25T16:50:38Z</dcterms:created>
  <dcterms:modified xsi:type="dcterms:W3CDTF">2026-05-25T19:18:29Z</dcterms:modified>
</cp:coreProperties>
</file>